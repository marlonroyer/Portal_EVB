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  <sheet state="visible" name="Plan2" sheetId="2" r:id="rId5"/>
    <sheet state="visible" name="Plan3" sheetId="3" r:id="rId6"/>
  </sheets>
  <definedNames/>
  <calcPr/>
  <extLst>
    <ext uri="GoogleSheetsCustomDataVersion2">
      <go:sheetsCustomData xmlns:go="http://customooxmlschemas.google.com/" r:id="rId7" roundtripDataChecksum="3qK6xpNmqvsgVPNwyy8IpQVDXwLq7tIc6uP8rpyN1S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">
      <text>
        <t xml:space="preserve">======
ID#AAAAsqZMlww
    (2023-03-13 16:11:58)
Somente números</t>
      </text>
    </comment>
    <comment authorId="0" ref="I1">
      <text>
        <t xml:space="preserve">======
ID#AAAAsqZMlws
    (2023-03-13 16:11:58)
Primeira infraespécie. Contém o epíteto da variedade ou forma.</t>
      </text>
    </comment>
    <comment authorId="0" ref="T1">
      <text>
        <t xml:space="preserve">======
ID#AAAAsqZMlwo
    (2023-03-13 16:11:58)
unidade de conservação</t>
      </text>
    </comment>
    <comment authorId="0" ref="AD1">
      <text>
        <t xml:space="preserve">======
ID#AAAAsqZMlwk
    (2023-03-13 16:11:58)
Leste ou oeste (East or West). Digite E ou W</t>
      </text>
    </comment>
    <comment authorId="0" ref="AQ1">
      <text>
        <t xml:space="preserve">======
ID#AAAAsqZMlwY
    (2023-03-13 16:11:58)
Dia da coleta - apenas o valor de um dia e não de um período de coletas</t>
      </text>
    </comment>
    <comment authorId="0" ref="AT1">
      <text>
        <t xml:space="preserve">======
ID#AAAAsqZMlwg
    (2023-03-13 16:11:58)
Determinadores da espécie principal.</t>
      </text>
    </comment>
    <comment authorId="0" ref="AZ1">
      <text>
        <t xml:space="preserve">======
ID#AAAAsqZMlwc
    (2023-03-13 16:11:58)
Quantidade de etiquetas a serem impressas. Deixar em branco, caso deseje apenas uma etiqueta.</t>
      </text>
    </comment>
    <comment authorId="0" ref="AF1">
      <text>
        <t xml:space="preserve">======
ID#AAAAsqZMlwQ
    (2023-03-13 16:11:58)
altitude ou profundidade máxima - NÃO colocar a unidade de medida</t>
      </text>
    </comment>
    <comment authorId="0" ref="AC1">
      <text>
        <t xml:space="preserve">======
ID#AAAAsqZMlwM
    (2023-03-13 16:11:58)
Somente números</t>
      </text>
    </comment>
    <comment authorId="0" ref="AR1">
      <text>
        <t xml:space="preserve">======
ID#AAAAsqZMlwI
    (2023-03-13 16:11:58)
Mês da coleta em arábico</t>
      </text>
    </comment>
    <comment authorId="0" ref="AJ1">
      <text>
        <t xml:space="preserve">======
ID#AAAAsqZMlwE
    (2023-03-13 16:11:58)
Verifica a existência de fruto. Marcar apneas com um x</t>
      </text>
    </comment>
    <comment authorId="0" ref="E1">
      <text>
        <t xml:space="preserve">======
ID#AAAAsqZMlwA
    (2023-03-13 16:11:58)
Detalhe da identificação taxonômica. Preencher, com Cf. ou Aff.</t>
      </text>
    </comment>
    <comment authorId="0" ref="B1">
      <text>
        <t xml:space="preserve">======
ID#AAAAsqZMlv8
Felipe    (2023-03-13 16:11:58)
Sufixo do número de tombo. Ex: a, b, c.</t>
      </text>
    </comment>
    <comment authorId="0" ref="AY1">
      <text>
        <t xml:space="preserve">======
ID#AAAAsqZMlv4
    (2023-03-13 16:11:58)
Sigla dos herbários  que serão enviadas duplicatas</t>
      </text>
    </comment>
    <comment authorId="0" ref="AE1">
      <text>
        <t xml:space="preserve">======
ID#AAAAsqZMlvw
    (2023-03-13 16:11:58)
Altitude ou profundidade mínima - NÃO colocar a unidade de medida</t>
      </text>
    </comment>
    <comment authorId="0" ref="AK1">
      <text>
        <t xml:space="preserve">======
ID#AAAAsqZMlvs
Felipe    (2023-03-13 16:11:58)
Valor do fuste.</t>
      </text>
    </comment>
    <comment authorId="0" ref="AA1">
      <text>
        <t xml:space="preserve">======
ID#AAAAsqZMlv0
    (2023-03-13 16:11:58)
Somente números. Não precisa colocar grau (º)</t>
      </text>
    </comment>
    <comment authorId="0" ref="R1">
      <text>
        <t xml:space="preserve">======
ID#AAAAsqZMlvo
    (2023-03-13 16:11:58)
Município onde a coleta foi realizada
NÃO ESCREVER MUNICÍPIO DE ...</t>
      </text>
    </comment>
    <comment authorId="0" ref="BE1">
      <text>
        <t xml:space="preserve">======
ID#AAAAsqZMlvk
    (2023-03-13 16:11:58)
Descrição do local onde o espécime habita.</t>
      </text>
    </comment>
    <comment authorId="0" ref="BA1">
      <text>
        <t xml:space="preserve">======
ID#AAAAsqZMlvg
    (2023-03-13 16:11:58)
Descrição do indivíduo.
Atenção a altura e o habitat devem ser colocados em campos próprios</t>
      </text>
    </comment>
    <comment authorId="0" ref="AG1">
      <text>
        <t xml:space="preserve">======
ID#AAAAsqZMlvY
    (2023-03-13 16:11:58)
m, cm, mm ou ft</t>
      </text>
    </comment>
    <comment authorId="0" ref="AO1">
      <text>
        <t xml:space="preserve">======
ID#AAAAsqZMlvc
    (2023-03-13 16:11:58)
Número da coleta do principal coletor</t>
      </text>
    </comment>
    <comment authorId="0" ref="J1">
      <text>
        <t xml:space="preserve">======
ID#AAAAsqZMlvU
    (2023-03-13 16:11:58)
Autor da primeira infraespécie</t>
      </text>
    </comment>
    <comment authorId="0" ref="H1">
      <text>
        <t xml:space="preserve">======
ID#AAAAsqZMlvQ
    (2023-03-13 16:11:58)
Tipo da primeira infraespécie: variedade, forma etc. 
Ex. var., f., ssp. Ou Infr.</t>
      </text>
    </comment>
    <comment authorId="0" ref="AV1">
      <text>
        <t xml:space="preserve">======
ID#AAAAsqZMlvM
    (2023-03-13 16:11:58)
Mês em que foi identificada a espécie
Em arábicos</t>
      </text>
    </comment>
    <comment authorId="0" ref="AI1">
      <text>
        <t xml:space="preserve">======
ID#AAAAsqZMlvI
    (2023-03-13 16:11:58)
Verifica a existência de flor. Marcar apneas com um x</t>
      </text>
    </comment>
    <comment authorId="0" ref="Y1">
      <text>
        <t xml:space="preserve">======
ID#AAAAsqZMlvE
    (2023-03-13 16:11:58)
Somente números</t>
      </text>
    </comment>
    <comment authorId="0" ref="BB1">
      <text>
        <t xml:space="preserve">======
ID#AAAAsqZMlvA
    (2023-03-13 16:11:58)
Estado de caráter etnobotânico. Lista de usos da planta.</t>
      </text>
    </comment>
    <comment authorId="0" ref="AN1">
      <text>
        <t xml:space="preserve">======
ID#AAAAsqZMlu8
    (2023-03-13 16:11:58)
Nome do coletor principal - apenas o coletor principal, preencher os demais, caso existam, no campo addcoll</t>
      </text>
    </comment>
    <comment authorId="0" ref="AU1">
      <text>
        <t xml:space="preserve">======
ID#AAAAsqZMlu4
    (2023-03-13 16:11:58)
Dia do mês em que foi identificada a espécie</t>
      </text>
    </comment>
    <comment authorId="0" ref="AS1">
      <text>
        <t xml:space="preserve">======
ID#AAAAsqZMluw
    (2023-03-13 16:11:58)
Ano da coleta, com 4 algarismos</t>
      </text>
    </comment>
    <comment authorId="0" ref="BC1">
      <text>
        <t xml:space="preserve">======
ID#AAAAsqZMlus
    (2023-03-13 16:11:58)
Usos específicos da planta.</t>
      </text>
    </comment>
    <comment authorId="0" ref="L1">
      <text>
        <t xml:space="preserve">======
ID#AAAAsqZMlu0
    (2023-03-13 16:11:58)
Segunda infraespécie. Aqui, deve ser fornecido o epíteto da variedade ou forma. Campo livre</t>
      </text>
    </comment>
    <comment authorId="0" ref="U1">
      <text>
        <t xml:space="preserve">======
ID#AAAAsqZMluo
    (2023-03-13 16:11:58)
Latitude em formato decimal, com até 5 casas decimais. 
Ex. -22.96576
------
ID#AAABbeR_BSs
Marlon Royer    (2025-01-09 19:07:18)
Para automação dos dados importar as coordenadas sem o sinal negativo e substituir o "." por "," por exemplo: 25,40813</t>
      </text>
    </comment>
    <comment authorId="0" ref="AW1">
      <text>
        <t xml:space="preserve">======
ID#AAAAsqZMluk
    (2023-03-13 16:11:58)
Ano em que foi identificada a espécie, com 4 algarismos</t>
      </text>
    </comment>
    <comment authorId="0" ref="S1">
      <text>
        <t xml:space="preserve">======
ID#AAAAsqZMlug
    (2023-03-13 16:11:58)
Campo para especificação da localidade, dentro do Município. Ex.: nome da fazenda</t>
      </text>
    </comment>
    <comment authorId="0" ref="A1">
      <text>
        <t xml:space="preserve">======
ID#AAAAsqZMluc
    (2023-03-13 16:11:58)
Ao informar o número tombo o sistema não criará um novo será mantido o tombo informado.</t>
      </text>
    </comment>
    <comment authorId="0" ref="W1">
      <text>
        <t xml:space="preserve">======
ID#AAAAsqZMluY
    (2023-03-13 16:11:58)
Somente números. Não precisa colocar grau (º)</t>
      </text>
    </comment>
    <comment authorId="0" ref="AH1">
      <text>
        <t xml:space="preserve">======
ID#AAAAsqZMluU
    (2023-03-13 16:11:58)
Observações, notas e descrições sobre a localidade onde foi realizada a coleta. Ex.: próximo à saída para o Rio ...
A esquerda da Pedra Tal ...</t>
      </text>
    </comment>
    <comment authorId="0" ref="Q1">
      <text>
        <t xml:space="preserve">======
ID#AAAAsqZMluQ
    (2023-03-13 16:11:58)
Estado onde a coleta foi realizada.</t>
      </text>
    </comment>
    <comment authorId="0" ref="N1">
      <text>
        <t xml:space="preserve">======
ID#AAAAsqZMluM
    (2023-03-13 16:11:58)
Nome vulgar. Nome (ou nomes) pelo qual é conhecida a espécie em sua região</t>
      </text>
    </comment>
    <comment authorId="0" ref="G1">
      <text>
        <t xml:space="preserve">======
ID#AAAAsqZMluI
Felipe    (2023-03-13 16:11:58)
Autor da Espécie.</t>
      </text>
    </comment>
    <comment authorId="0" ref="AX1">
      <text>
        <t xml:space="preserve">======
ID#AAAAsqZMluE
Felipe    (2023-03-13 16:11:58)
Sigla da coleção botânica de origem.
Ex: RB</t>
      </text>
    </comment>
    <comment authorId="0" ref="O1">
      <text>
        <t xml:space="preserve">======
ID#AAAAsqZMluA
    (2023-03-13 16:11:58)
Refere-se às exsicatas que são typus de alguma espécie. É um campo dicionarizado. Ex.: “clonótipo”, “holótipo”, etc.</t>
      </text>
    </comment>
    <comment authorId="0" ref="AM1">
      <text>
        <t xml:space="preserve">======
ID#AAAAsqZMlt8
    (2023-03-13 16:11:58)
cm, ft, m ou mm</t>
      </text>
    </comment>
    <comment authorId="0" ref="P1">
      <text>
        <t xml:space="preserve">======
ID#AAAAsqZMlt4
    (2023-03-13 16:11:58)
País onde a coleta foi realizada</t>
      </text>
    </comment>
    <comment authorId="0" ref="M1">
      <text>
        <t xml:space="preserve">======
ID#AAAAsqZMlt0
    (2023-03-13 16:11:58)
Autor da segunda infraespécie</t>
      </text>
    </comment>
    <comment authorId="0" ref="F1">
      <text>
        <t xml:space="preserve">======
ID#AAAAsqZMltw
    (2023-03-13 16:11:58)
Espécie</t>
      </text>
    </comment>
    <comment authorId="0" ref="AP1">
      <text>
        <t xml:space="preserve">======
ID#AAAAsqZMlts
    (2023-03-13 16:11:58)
Nome dos coletores adicionais</t>
      </text>
    </comment>
    <comment authorId="0" ref="AL1">
      <text>
        <t xml:space="preserve">======
ID#AAAAsqZMlto
    (2023-03-13 16:11:58)
somente números
Não colocar aqui a unidade de medida</t>
      </text>
    </comment>
    <comment authorId="0" ref="AB1">
      <text>
        <t xml:space="preserve">======
ID#AAAAsqZMltk
    (2023-03-13 16:11:58)
Somente números</t>
      </text>
    </comment>
    <comment authorId="0" ref="Z1">
      <text>
        <t xml:space="preserve">======
ID#AAAAsqZMltg
    (2023-03-13 16:11:58)
Norte ou sul, referente à latitude. Digite N ou S</t>
      </text>
    </comment>
    <comment authorId="0" ref="K1">
      <text>
        <t xml:space="preserve">======
ID#AAAAsqZMltc
    (2023-03-13 16:11:58)
Tipo da segunda infraespécie: variedade, forma etc. Algumas vezes, ocorre de uma espécie ter mais de uma infra</t>
      </text>
    </comment>
  </commentList>
  <extLst>
    <ext uri="GoogleSheetsCustomDataVersion2">
      <go:sheetsCustomData xmlns:go="http://customooxmlschemas.google.com/" r:id="rId1" roundtripDataSignature="AMtx7mjMm1zNu1nZkv9ifs11uzO3CADykA=="/>
    </ext>
  </extLst>
</comments>
</file>

<file path=xl/sharedStrings.xml><?xml version="1.0" encoding="utf-8"?>
<sst xmlns="http://schemas.openxmlformats.org/spreadsheetml/2006/main" count="79" uniqueCount="79">
  <si>
    <t>numtombo</t>
  </si>
  <si>
    <t>sufixo</t>
  </si>
  <si>
    <t>family</t>
  </si>
  <si>
    <t>genus</t>
  </si>
  <si>
    <t>cf</t>
  </si>
  <si>
    <t>sp1</t>
  </si>
  <si>
    <t>author1</t>
  </si>
  <si>
    <t>rank1</t>
  </si>
  <si>
    <t>sp2</t>
  </si>
  <si>
    <t>author2</t>
  </si>
  <si>
    <t>rank2</t>
  </si>
  <si>
    <t>sp3</t>
  </si>
  <si>
    <t>author3</t>
  </si>
  <si>
    <t>vernacular</t>
  </si>
  <si>
    <t>typestat</t>
  </si>
  <si>
    <t>country</t>
  </si>
  <si>
    <t>majorarea</t>
  </si>
  <si>
    <t>minorarea</t>
  </si>
  <si>
    <t>gazetteer</t>
  </si>
  <si>
    <t>uc</t>
  </si>
  <si>
    <t>latitude</t>
  </si>
  <si>
    <t>longitude</t>
  </si>
  <si>
    <t>lat_grau</t>
  </si>
  <si>
    <t>lat_min</t>
  </si>
  <si>
    <t>lat_seg</t>
  </si>
  <si>
    <t>ns</t>
  </si>
  <si>
    <t>long_grau</t>
  </si>
  <si>
    <t>long_min</t>
  </si>
  <si>
    <t>long_seg</t>
  </si>
  <si>
    <t>ew</t>
  </si>
  <si>
    <t>altprof</t>
  </si>
  <si>
    <t>altprofmax</t>
  </si>
  <si>
    <t>unidmedaltprof</t>
  </si>
  <si>
    <t>locnotes</t>
  </si>
  <si>
    <t>flor</t>
  </si>
  <si>
    <t>fruto</t>
  </si>
  <si>
    <t>fuste</t>
  </si>
  <si>
    <t>altura</t>
  </si>
  <si>
    <t>unidmedaltura</t>
  </si>
  <si>
    <t>collector</t>
  </si>
  <si>
    <t>number</t>
  </si>
  <si>
    <t>addcoll</t>
  </si>
  <si>
    <t>colldd</t>
  </si>
  <si>
    <t>collmm</t>
  </si>
  <si>
    <t>collyy</t>
  </si>
  <si>
    <t>detby</t>
  </si>
  <si>
    <t>detdd</t>
  </si>
  <si>
    <t>detmm</t>
  </si>
  <si>
    <t>detyy</t>
  </si>
  <si>
    <t>sigla_colbot_origem</t>
  </si>
  <si>
    <t>dups</t>
  </si>
  <si>
    <t>nrdups</t>
  </si>
  <si>
    <t>notes</t>
  </si>
  <si>
    <t>usos</t>
  </si>
  <si>
    <t>uso_especifico</t>
  </si>
  <si>
    <t>projeto</t>
  </si>
  <si>
    <t>habitat</t>
  </si>
  <si>
    <t>habito</t>
  </si>
  <si>
    <t>Incluir por ultimo</t>
  </si>
  <si>
    <t>Apocynaceae</t>
  </si>
  <si>
    <t>Tabernaemontana</t>
  </si>
  <si>
    <t>catharinensis</t>
  </si>
  <si>
    <t>A.DC.</t>
  </si>
  <si>
    <t>Leiteira</t>
  </si>
  <si>
    <t>Brasil</t>
  </si>
  <si>
    <t>Paraná</t>
  </si>
  <si>
    <t>Foz do Iguaçu</t>
  </si>
  <si>
    <t>Rua Joaquim Firmino</t>
  </si>
  <si>
    <t>S</t>
  </si>
  <si>
    <t>W</t>
  </si>
  <si>
    <t>m</t>
  </si>
  <si>
    <t>x</t>
  </si>
  <si>
    <t>Zanella, F.</t>
  </si>
  <si>
    <t>IV</t>
  </si>
  <si>
    <t>Lima, L. C. P.</t>
  </si>
  <si>
    <t>Fruto alaranjado</t>
  </si>
  <si>
    <t>Doação</t>
  </si>
  <si>
    <t>Floresta Estacional Semidecidual</t>
  </si>
  <si>
    <t>Árvore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</si>
</sst>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0.0"/>
      <color rgb="FF000080"/>
      <name val="Arial"/>
    </font>
    <font>
      <color theme="1"/>
      <name val="Calibri"/>
      <scheme val="minor"/>
    </font>
    <font>
      <u/>
      <sz val="9.0"/>
      <color rgb="FF1A73E8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1" numFmtId="2" xfId="0" applyAlignment="1" applyBorder="1" applyFont="1" applyNumberFormat="1">
      <alignment horizontal="center" shrinkToFit="0" vertical="bottom" wrapText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2" numFmtId="0" xfId="0" applyAlignment="1" applyFont="1">
      <alignment readingOrder="0"/>
    </xf>
    <xf borderId="0" fillId="4" fontId="3" numFmtId="0" xfId="0" applyAlignment="1" applyFill="1" applyFont="1">
      <alignment horizontal="left" readingOrder="0"/>
    </xf>
    <xf borderId="0" fillId="0" fontId="2" numFmtId="4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0.71"/>
    <col customWidth="1" min="3" max="3" width="10.57"/>
    <col customWidth="1" min="4" max="4" width="8.14"/>
    <col customWidth="1" min="5" max="5" width="7.71"/>
    <col customWidth="1" min="6" max="6" width="10.86"/>
    <col customWidth="1" min="7" max="7" width="7.86"/>
    <col customWidth="1" min="8" max="8" width="6.0"/>
    <col customWidth="1" min="9" max="9" width="4.0"/>
    <col customWidth="1" min="10" max="10" width="7.86"/>
    <col customWidth="1" min="11" max="11" width="6.0"/>
    <col customWidth="1" min="12" max="12" width="4.0"/>
    <col customWidth="1" min="13" max="13" width="7.86"/>
    <col customWidth="1" min="14" max="14" width="10.71"/>
    <col customWidth="1" min="15" max="15" width="8.0"/>
    <col customWidth="1" min="16" max="16" width="7.71"/>
    <col customWidth="1" min="17" max="18" width="10.43"/>
    <col customWidth="1" min="19" max="19" width="9.57"/>
    <col customWidth="1" min="20" max="20" width="10.86"/>
    <col customWidth="1" min="21" max="21" width="11.86"/>
    <col customWidth="1" min="22" max="22" width="12.14"/>
    <col customWidth="1" min="23" max="23" width="8.43"/>
    <col customWidth="1" min="24" max="24" width="7.71"/>
    <col customWidth="1" min="25" max="25" width="7.43"/>
    <col customWidth="1" min="26" max="26" width="3.0"/>
    <col customWidth="1" min="27" max="27" width="10.14"/>
    <col customWidth="1" min="28" max="28" width="9.43"/>
    <col customWidth="1" min="29" max="29" width="9.14"/>
    <col customWidth="1" min="30" max="30" width="3.71"/>
    <col customWidth="1" min="31" max="31" width="6.86"/>
    <col customWidth="1" min="32" max="32" width="10.86"/>
    <col customWidth="1" min="33" max="33" width="15.0"/>
    <col customWidth="1" min="34" max="34" width="8.57"/>
    <col customWidth="1" min="35" max="35" width="4.0"/>
    <col customWidth="1" min="36" max="36" width="5.14"/>
    <col customWidth="1" min="37" max="37" width="5.29"/>
    <col customWidth="1" min="38" max="38" width="6.29"/>
    <col customWidth="1" min="39" max="39" width="14.43"/>
    <col customWidth="1" min="40" max="40" width="11.0"/>
    <col customWidth="1" min="41" max="41" width="8.0"/>
    <col customWidth="1" min="42" max="42" width="7.71"/>
    <col customWidth="1" min="43" max="43" width="6.57"/>
    <col customWidth="1" min="44" max="44" width="7.71"/>
    <col customWidth="1" min="45" max="45" width="6.29"/>
    <col customWidth="1" min="46" max="46" width="10.0"/>
    <col customWidth="1" min="47" max="47" width="6.14"/>
    <col customWidth="1" min="48" max="48" width="7.29"/>
    <col customWidth="1" min="49" max="49" width="5.86"/>
    <col customWidth="1" min="50" max="50" width="19.57"/>
    <col customWidth="1" min="51" max="51" width="5.29"/>
    <col customWidth="1" min="52" max="52" width="7.14"/>
    <col customWidth="1" min="53" max="53" width="5.86"/>
    <col customWidth="1" min="54" max="54" width="5.0"/>
    <col customWidth="1" min="55" max="55" width="14.43"/>
    <col customWidth="1" min="56" max="56" width="7.43"/>
    <col customWidth="1" min="57" max="57" width="7.29"/>
    <col customWidth="1" min="58" max="58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1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4" t="s">
        <v>58</v>
      </c>
      <c r="B2" s="5"/>
      <c r="C2" s="4" t="s">
        <v>59</v>
      </c>
      <c r="D2" s="4" t="s">
        <v>60</v>
      </c>
      <c r="E2" s="5"/>
      <c r="F2" s="4" t="s">
        <v>61</v>
      </c>
      <c r="G2" s="4" t="s">
        <v>62</v>
      </c>
      <c r="H2" s="5"/>
      <c r="I2" s="5"/>
      <c r="J2" s="5"/>
      <c r="K2" s="5"/>
      <c r="L2" s="5"/>
      <c r="M2" s="5"/>
      <c r="N2" s="4" t="s">
        <v>63</v>
      </c>
      <c r="O2" s="5"/>
      <c r="P2" s="4" t="s">
        <v>64</v>
      </c>
      <c r="Q2" s="4" t="s">
        <v>65</v>
      </c>
      <c r="R2" s="4" t="s">
        <v>66</v>
      </c>
      <c r="S2" s="4" t="s">
        <v>67</v>
      </c>
      <c r="T2" s="5"/>
      <c r="U2" s="4">
        <v>25.90534</v>
      </c>
      <c r="V2" s="4">
        <v>54.56387</v>
      </c>
      <c r="W2" s="5">
        <f>INT(U2)</f>
        <v>25</v>
      </c>
      <c r="X2" s="5">
        <f>INT(ABS(MOD(U2,1))*60)
</f>
        <v>54</v>
      </c>
      <c r="Y2" s="5">
        <f>ROUND(MOD(ABS(MOD(U2,1)*60),1)*60,0)
</f>
        <v>19</v>
      </c>
      <c r="Z2" s="4" t="s">
        <v>68</v>
      </c>
      <c r="AA2" s="5">
        <f>INT(V2)</f>
        <v>54</v>
      </c>
      <c r="AB2" s="5">
        <f>INT(ABS(MOD(V2,1))*60)
</f>
        <v>33</v>
      </c>
      <c r="AC2" s="5">
        <f>ROUND(MOD(ABS(MOD(V2,1)*60),1)*60,0)
</f>
        <v>50</v>
      </c>
      <c r="AD2" s="4" t="s">
        <v>69</v>
      </c>
      <c r="AE2" s="4">
        <v>218.0</v>
      </c>
      <c r="AF2" s="4">
        <v>232.0</v>
      </c>
      <c r="AG2" s="4" t="s">
        <v>70</v>
      </c>
      <c r="AH2" s="5"/>
      <c r="AI2" s="5"/>
      <c r="AJ2" s="4" t="s">
        <v>71</v>
      </c>
      <c r="AK2" s="5"/>
      <c r="AL2" s="5"/>
      <c r="AM2" s="5"/>
      <c r="AN2" s="4" t="s">
        <v>72</v>
      </c>
      <c r="AO2" s="4">
        <v>5.0</v>
      </c>
      <c r="AP2" s="5"/>
      <c r="AQ2" s="4">
        <v>1.0</v>
      </c>
      <c r="AR2" s="4" t="s">
        <v>73</v>
      </c>
      <c r="AS2" s="4">
        <v>10.0</v>
      </c>
      <c r="AT2" s="4" t="s">
        <v>74</v>
      </c>
      <c r="AU2" s="4">
        <v>9.0</v>
      </c>
      <c r="AV2" s="4">
        <v>4.0</v>
      </c>
      <c r="AW2" s="5"/>
      <c r="AX2" s="5"/>
      <c r="AY2" s="5"/>
      <c r="AZ2" s="5"/>
      <c r="BA2" s="4" t="s">
        <v>75</v>
      </c>
      <c r="BB2" s="5"/>
      <c r="BC2" s="5"/>
      <c r="BD2" s="4" t="s">
        <v>76</v>
      </c>
      <c r="BE2" s="4" t="s">
        <v>77</v>
      </c>
      <c r="BF2" s="4" t="s">
        <v>78</v>
      </c>
    </row>
    <row r="3">
      <c r="Z3" s="6"/>
      <c r="AD3" s="6"/>
    </row>
    <row r="4">
      <c r="U4" s="7"/>
      <c r="V4" s="8"/>
      <c r="Z4" s="6"/>
      <c r="AD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2013-10-23T17:46:44Z</dcterms:created>
  <dc:creator>carol caban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str>14.0300</vt:lp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